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\Documents\NEXTGEN 3MTT\CBN_PIPELINE\"/>
    </mc:Choice>
  </mc:AlternateContent>
  <xr:revisionPtr revIDLastSave="0" documentId="13_ncr:1_{BB326DB0-1FA8-451C-82EA-C7D1E8F6DDA3}" xr6:coauthVersionLast="47" xr6:coauthVersionMax="47" xr10:uidLastSave="{00000000-0000-0000-0000-000000000000}"/>
  <bookViews>
    <workbookView xWindow="-110" yWindow="-110" windowWidth="19420" windowHeight="10560" xr2:uid="{B6FED292-C6B2-4953-B4CB-EFF42187BA65}"/>
  </bookViews>
  <sheets>
    <sheet name="Sheet1" sheetId="1" r:id="rId1"/>
  </sheets>
  <definedNames>
    <definedName name="________________RED3">"Check Box 8"</definedName>
    <definedName name="_______________RED3">"Check Box 8"</definedName>
    <definedName name="______________RED3">"Check Box 8"</definedName>
    <definedName name="_____________RED3">"Check Box 8"</definedName>
    <definedName name="____________RED3">"Check Box 8"</definedName>
    <definedName name="___________RED3">"Check Box 8"</definedName>
    <definedName name="__________RED3">"Check Box 8"</definedName>
    <definedName name="_________RED3">"Check Box 8"</definedName>
    <definedName name="________RED3">"Check Box 8"</definedName>
    <definedName name="_______RED3">"Check Box 8"</definedName>
    <definedName name="______RED3">"Check Box 8"</definedName>
    <definedName name="_____RED3">"Check Box 8"</definedName>
    <definedName name="____RED3">"Check Box 8"</definedName>
    <definedName name="___RED3">"Check Box 8"</definedName>
    <definedName name="__RED3">"Check Box 8"</definedName>
    <definedName name="_RED3">"Check Box 8"</definedName>
    <definedName name="AMPO5">"Gráfico 8"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II">#N/A</definedName>
    <definedName name="BMIIB">#N/A</definedName>
    <definedName name="BMIIG">#N/A</definedName>
    <definedName name="BOP">#N/A</definedName>
    <definedName name="calcNGS_NGDP">#N/A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DNA">#N/A</definedName>
    <definedName name="ENDA">#N/A</definedName>
    <definedName name="GCB_NGDP">#N/A</definedName>
    <definedName name="GGB_NGDP">#N/A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X">#N/A</definedName>
    <definedName name="NX_R">#N/A</definedName>
    <definedName name="NXG_RG">#N/A</definedName>
    <definedName name="PCPIG">#N/A</definedName>
    <definedName name="PPPWGT">#N/A</definedName>
    <definedName name="TableName">"Dummy"</definedName>
    <definedName name="TMGO">#N/A</definedName>
    <definedName name="TXG_D">#N/A</definedName>
    <definedName name="TXGO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</calcChain>
</file>

<file path=xl/sharedStrings.xml><?xml version="1.0" encoding="utf-8"?>
<sst xmlns="http://schemas.openxmlformats.org/spreadsheetml/2006/main" count="10" uniqueCount="10">
  <si>
    <t>Year</t>
  </si>
  <si>
    <t>GDP</t>
  </si>
  <si>
    <t>CEX</t>
  </si>
  <si>
    <t>REX</t>
  </si>
  <si>
    <t>Total_Import</t>
  </si>
  <si>
    <t>Total_Export</t>
  </si>
  <si>
    <t>Total_Trade</t>
  </si>
  <si>
    <t>Net_Trade</t>
  </si>
  <si>
    <t>Inflation</t>
  </si>
  <si>
    <t>Growth_Rate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</si>
</sst>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65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 Light"/>
      <family val="1"/>
      <scheme val="maj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indexed="8"/>
      <name val="Cambri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</cellStyleXfs>
  <cellXfs count="27">
    <xf numFmtId="0" fontId="0" fillId="0" borderId="0" xfId="0"/>
    <xf numFmtId="164" fontId="3" fillId="0" borderId="0" xfId="4" applyNumberFormat="1" applyFont="1" applyFill="1" applyBorder="1" applyAlignment="1">
      <alignment horizontal="right"/>
    </xf>
    <xf numFmtId="164" fontId="3" fillId="0" borderId="1" xfId="4" applyNumberFormat="1" applyFont="1" applyBorder="1"/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5" fillId="0" borderId="0" xfId="0" applyFont="1"/>
    <xf numFmtId="4" fontId="6" fillId="0" borderId="0" xfId="2" applyNumberFormat="1" applyFont="1"/>
    <xf numFmtId="4" fontId="6" fillId="0" borderId="1" xfId="2" applyNumberFormat="1" applyFont="1" applyBorder="1"/>
    <xf numFmtId="4" fontId="5" fillId="0" borderId="0" xfId="0" applyNumberFormat="1" applyFont="1"/>
    <xf numFmtId="164" fontId="5" fillId="0" borderId="0" xfId="0" applyNumberFormat="1" applyFont="1" applyAlignment="1">
      <alignment horizontal="center"/>
    </xf>
    <xf numFmtId="4" fontId="6" fillId="0" borderId="6" xfId="3" applyNumberFormat="1" applyFont="1" applyBorder="1" applyAlignment="1">
      <alignment horizontal="right"/>
    </xf>
    <xf numFmtId="164" fontId="6" fillId="0" borderId="0" xfId="4" applyNumberFormat="1" applyFont="1" applyFill="1" applyBorder="1" applyAlignment="1">
      <alignment horizontal="right"/>
    </xf>
    <xf numFmtId="164" fontId="6" fillId="0" borderId="0" xfId="1" applyNumberFormat="1" applyFont="1" applyFill="1" applyBorder="1" applyAlignment="1">
      <alignment horizontal="right"/>
    </xf>
    <xf numFmtId="4" fontId="5" fillId="0" borderId="0" xfId="0" applyNumberFormat="1" applyFont="1" applyAlignment="1">
      <alignment horizontal="center"/>
    </xf>
    <xf numFmtId="4" fontId="6" fillId="0" borderId="7" xfId="3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center"/>
    </xf>
    <xf numFmtId="164" fontId="5" fillId="0" borderId="1" xfId="4" applyNumberFormat="1" applyFont="1" applyFill="1" applyBorder="1" applyAlignment="1">
      <alignment horizontal="right"/>
    </xf>
    <xf numFmtId="164" fontId="6" fillId="0" borderId="8" xfId="4" applyNumberFormat="1" applyFont="1" applyFill="1" applyBorder="1" applyAlignment="1">
      <alignment horizontal="right"/>
    </xf>
    <xf numFmtId="164" fontId="5" fillId="0" borderId="8" xfId="4" applyNumberFormat="1" applyFont="1" applyFill="1" applyBorder="1" applyAlignment="1">
      <alignment horizontal="right"/>
    </xf>
    <xf numFmtId="164" fontId="5" fillId="0" borderId="0" xfId="4" applyNumberFormat="1" applyFont="1" applyFill="1" applyBorder="1" applyAlignment="1">
      <alignment horizontal="right"/>
    </xf>
    <xf numFmtId="164" fontId="6" fillId="0" borderId="1" xfId="4" applyNumberFormat="1" applyFont="1" applyBorder="1"/>
    <xf numFmtId="4" fontId="6" fillId="0" borderId="2" xfId="2" applyNumberFormat="1" applyFont="1" applyBorder="1"/>
    <xf numFmtId="4" fontId="7" fillId="0" borderId="0" xfId="0" applyNumberFormat="1" applyFont="1" applyAlignment="1">
      <alignment horizontal="center"/>
    </xf>
    <xf numFmtId="4" fontId="7" fillId="0" borderId="9" xfId="0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9" xfId="0" applyNumberFormat="1" applyFont="1" applyBorder="1" applyAlignment="1">
      <alignment horizontal="center"/>
    </xf>
    <xf numFmtId="39" fontId="4" fillId="0" borderId="5" xfId="0" applyNumberFormat="1" applyFont="1" applyBorder="1" applyAlignment="1">
      <alignment horizontal="center" wrapText="1" readingOrder="1"/>
    </xf>
  </cellXfs>
  <cellStyles count="5">
    <cellStyle name="Comma" xfId="1" builtinId="3"/>
    <cellStyle name="Comma 2" xfId="4" xr:uid="{F0DA9A82-8243-4D93-A2DB-6EA71EC6D4AB}"/>
    <cellStyle name="Normal" xfId="0" builtinId="0"/>
    <cellStyle name="Normal 15 7" xfId="2" xr:uid="{F10CD780-CB55-47CE-A851-3906E24797E3}"/>
    <cellStyle name="Normal 2" xfId="3" xr:uid="{4C188170-29C5-42D6-87BD-F5359C4198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669D-CC8E-460B-B7C2-8E4BD584769A}">
  <dimension ref="A1:J44"/>
  <sheetViews>
    <sheetView tabSelected="1" topLeftCell="C1" workbookViewId="0">
      <selection activeCell="H5" sqref="H5"/>
    </sheetView>
  </sheetViews>
  <sheetFormatPr defaultRowHeight="14.5" x14ac:dyDescent="0.35"/>
  <cols>
    <col min="1" max="1" width="12.453125" customWidth="1"/>
    <col min="2" max="2" width="19.81640625" customWidth="1"/>
    <col min="3" max="3" width="19.08984375" customWidth="1"/>
    <col min="4" max="4" width="20" customWidth="1"/>
    <col min="5" max="5" width="15.26953125" customWidth="1"/>
    <col min="6" max="6" width="13.36328125" customWidth="1"/>
    <col min="7" max="7" width="18.90625" customWidth="1"/>
    <col min="8" max="8" width="15.6328125" customWidth="1"/>
    <col min="9" max="9" width="12.7265625" customWidth="1"/>
    <col min="10" max="10" width="12.453125" customWidth="1"/>
  </cols>
  <sheetData>
    <row r="1" spans="1:10" ht="16" thickBot="1" x14ac:dyDescent="0.4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</v>
      </c>
      <c r="H1" s="5" t="s">
        <v>1</v>
      </c>
      <c r="I1" s="5" t="s">
        <v>2</v>
      </c>
      <c r="J1" s="5" t="s">
        <v>3</v>
      </c>
    </row>
    <row r="2" spans="1:10" ht="16" thickBot="1" x14ac:dyDescent="0.4">
      <c r="A2" s="3">
        <v>1985</v>
      </c>
      <c r="B2" s="6">
        <v>7062.6</v>
      </c>
      <c r="C2" s="7">
        <v>11720.8</v>
      </c>
      <c r="D2" s="6">
        <v>18783.400000000001</v>
      </c>
      <c r="E2" s="8">
        <f t="shared" ref="E2:E41" si="0">C2-B2</f>
        <v>4658.1999999999989</v>
      </c>
      <c r="F2" s="9">
        <v>1.0309278350515483</v>
      </c>
      <c r="G2" s="22">
        <v>8.5248259705281306</v>
      </c>
      <c r="H2" s="10">
        <v>17170.081087333005</v>
      </c>
      <c r="I2" s="11">
        <v>13.0411</v>
      </c>
      <c r="J2" s="11">
        <v>7.5763999999999996</v>
      </c>
    </row>
    <row r="3" spans="1:10" ht="16.5" thickTop="1" thickBot="1" x14ac:dyDescent="0.4">
      <c r="A3" s="3">
        <v>1986</v>
      </c>
      <c r="B3" s="6">
        <v>5983.6</v>
      </c>
      <c r="C3" s="7">
        <v>8920.6</v>
      </c>
      <c r="D3" s="6">
        <v>14904.2</v>
      </c>
      <c r="E3" s="8">
        <f t="shared" si="0"/>
        <v>2937</v>
      </c>
      <c r="F3" s="9">
        <v>13.673469387755077</v>
      </c>
      <c r="G3" s="22">
        <v>1.8996649298143899</v>
      </c>
      <c r="H3" s="10">
        <v>17180.545439680533</v>
      </c>
      <c r="I3" s="11">
        <v>16.223700000000001</v>
      </c>
      <c r="J3" s="11">
        <v>7.6968999999999994</v>
      </c>
    </row>
    <row r="4" spans="1:10" ht="16.5" thickTop="1" thickBot="1" x14ac:dyDescent="0.4">
      <c r="A4" s="3">
        <v>1987</v>
      </c>
      <c r="B4" s="6">
        <v>17861.7</v>
      </c>
      <c r="C4" s="7">
        <v>30360.6</v>
      </c>
      <c r="D4" s="6">
        <v>48222.3</v>
      </c>
      <c r="E4" s="8">
        <f t="shared" si="0"/>
        <v>12498.899999999998</v>
      </c>
      <c r="F4" s="9">
        <v>9.6947935368043066</v>
      </c>
      <c r="G4" s="22">
        <v>0.17024439740859301</v>
      </c>
      <c r="H4" s="10">
        <v>17730.344449689837</v>
      </c>
      <c r="I4" s="11">
        <v>22.018699999999999</v>
      </c>
      <c r="J4" s="11">
        <v>15.6462</v>
      </c>
    </row>
    <row r="5" spans="1:10" ht="16.5" thickTop="1" thickBot="1" x14ac:dyDescent="0.4">
      <c r="A5" s="3">
        <v>1988</v>
      </c>
      <c r="B5" s="6">
        <v>21445.7</v>
      </c>
      <c r="C5" s="7">
        <v>31192.799999999999</v>
      </c>
      <c r="D5" s="6">
        <v>52638.5</v>
      </c>
      <c r="E5" s="8">
        <f t="shared" si="0"/>
        <v>9747.0999999999985</v>
      </c>
      <c r="F5" s="9">
        <v>61.21112929623569</v>
      </c>
      <c r="G5" s="22">
        <v>6.2332694114442901</v>
      </c>
      <c r="H5" s="10">
        <v>19030.692430815725</v>
      </c>
      <c r="I5" s="11">
        <v>27.749500000000001</v>
      </c>
      <c r="J5" s="11">
        <v>19.409400000000002</v>
      </c>
    </row>
    <row r="6" spans="1:10" ht="16.5" thickTop="1" thickBot="1" x14ac:dyDescent="0.4">
      <c r="A6" s="3">
        <v>1989</v>
      </c>
      <c r="B6" s="6">
        <v>30860.2</v>
      </c>
      <c r="C6" s="7">
        <v>57971.199999999997</v>
      </c>
      <c r="D6" s="6">
        <v>88831.4</v>
      </c>
      <c r="E6" s="8">
        <f t="shared" si="0"/>
        <v>27110.999999999996</v>
      </c>
      <c r="F6" s="9">
        <v>44.670050761421336</v>
      </c>
      <c r="G6" s="22">
        <v>6.6560611919624204</v>
      </c>
      <c r="H6" s="10">
        <v>19395.963981954901</v>
      </c>
      <c r="I6" s="11">
        <v>41.028300000000002</v>
      </c>
      <c r="J6" s="11">
        <v>25.994199999999999</v>
      </c>
    </row>
    <row r="7" spans="1:10" ht="16.5" thickTop="1" thickBot="1" x14ac:dyDescent="0.4">
      <c r="A7" s="3">
        <v>1990</v>
      </c>
      <c r="B7" s="6">
        <v>45717.9</v>
      </c>
      <c r="C7" s="7">
        <v>109886.1</v>
      </c>
      <c r="D7" s="6">
        <v>155604</v>
      </c>
      <c r="E7" s="8">
        <f t="shared" si="0"/>
        <v>64168.200000000004</v>
      </c>
      <c r="F7" s="9">
        <v>3.6140350877193077</v>
      </c>
      <c r="G7" s="22">
        <v>11.6276085497176</v>
      </c>
      <c r="H7" s="10">
        <v>21680.204535589324</v>
      </c>
      <c r="I7" s="11">
        <v>60.2682</v>
      </c>
      <c r="J7" s="11">
        <v>36.2196</v>
      </c>
    </row>
    <row r="8" spans="1:10" ht="16.5" thickTop="1" thickBot="1" x14ac:dyDescent="0.4">
      <c r="A8" s="3">
        <v>1991</v>
      </c>
      <c r="B8" s="6">
        <v>89488.2</v>
      </c>
      <c r="C8" s="7">
        <v>121535.4</v>
      </c>
      <c r="D8" s="6">
        <v>211023.6</v>
      </c>
      <c r="E8" s="8">
        <f t="shared" si="0"/>
        <v>32047.199999999997</v>
      </c>
      <c r="F8" s="9">
        <v>22.95970199796815</v>
      </c>
      <c r="G8" s="22">
        <v>-0.55202976307842</v>
      </c>
      <c r="H8" s="10">
        <v>21757.896113216062</v>
      </c>
      <c r="I8" s="11">
        <v>66.584399999999988</v>
      </c>
      <c r="J8" s="11">
        <v>38.243499999999997</v>
      </c>
    </row>
    <row r="9" spans="1:10" ht="16.5" thickTop="1" thickBot="1" x14ac:dyDescent="0.4">
      <c r="A9" s="3">
        <v>1992</v>
      </c>
      <c r="B9" s="6">
        <v>143151.20000000001</v>
      </c>
      <c r="C9" s="7">
        <v>205611.7</v>
      </c>
      <c r="D9" s="6">
        <v>348762.9</v>
      </c>
      <c r="E9" s="8">
        <f t="shared" si="0"/>
        <v>62460.5</v>
      </c>
      <c r="F9" s="9">
        <v>48.801982924814084</v>
      </c>
      <c r="G9" s="22">
        <v>2.1934928502734898</v>
      </c>
      <c r="H9" s="10">
        <v>22765.546263404722</v>
      </c>
      <c r="I9" s="11">
        <v>92.797399999999996</v>
      </c>
      <c r="J9" s="11">
        <v>53.034099999999995</v>
      </c>
    </row>
    <row r="10" spans="1:10" ht="16.5" thickTop="1" thickBot="1" x14ac:dyDescent="0.4">
      <c r="A10" s="3">
        <v>1993</v>
      </c>
      <c r="B10" s="6">
        <v>165629.4</v>
      </c>
      <c r="C10" s="7">
        <v>218770.1</v>
      </c>
      <c r="D10" s="6">
        <v>384399.5</v>
      </c>
      <c r="E10" s="8">
        <f t="shared" si="0"/>
        <v>53140.700000000012</v>
      </c>
      <c r="F10" s="9">
        <v>61.262261706459363</v>
      </c>
      <c r="G10" s="22">
        <v>1.5688069522024299</v>
      </c>
      <c r="H10" s="10">
        <v>22302.240357043011</v>
      </c>
      <c r="I10" s="12">
        <v>191.22889999999998</v>
      </c>
      <c r="J10" s="12">
        <v>136.72710000000001</v>
      </c>
    </row>
    <row r="11" spans="1:10" ht="16.5" thickTop="1" thickBot="1" x14ac:dyDescent="0.4">
      <c r="A11" s="3">
        <v>1994</v>
      </c>
      <c r="B11" s="6">
        <v>162788.79999999999</v>
      </c>
      <c r="C11" s="7">
        <v>206059.2</v>
      </c>
      <c r="D11" s="6">
        <v>368848</v>
      </c>
      <c r="E11" s="8">
        <f t="shared" si="0"/>
        <v>43270.400000000023</v>
      </c>
      <c r="F11" s="9">
        <v>76.758866062205939</v>
      </c>
      <c r="G11" s="22">
        <v>0.25657472492910499</v>
      </c>
      <c r="H11" s="10">
        <v>21897.471536384572</v>
      </c>
      <c r="I11" s="12">
        <v>160.89320000000001</v>
      </c>
      <c r="J11" s="12">
        <v>89.974899999999991</v>
      </c>
    </row>
    <row r="12" spans="1:10" ht="16.5" thickTop="1" thickBot="1" x14ac:dyDescent="0.4">
      <c r="A12" s="3">
        <v>1995</v>
      </c>
      <c r="B12" s="6">
        <v>755127.7</v>
      </c>
      <c r="C12" s="7">
        <v>950661.4</v>
      </c>
      <c r="D12" s="6">
        <v>1705789.1</v>
      </c>
      <c r="E12" s="8">
        <f t="shared" si="0"/>
        <v>195533.70000000007</v>
      </c>
      <c r="F12" s="9">
        <v>51.591321574511554</v>
      </c>
      <c r="G12" s="22">
        <v>1.8723484444540399</v>
      </c>
      <c r="H12" s="10">
        <v>21881.559789799612</v>
      </c>
      <c r="I12" s="12">
        <v>248.7681</v>
      </c>
      <c r="J12" s="12">
        <v>127.6298</v>
      </c>
    </row>
    <row r="13" spans="1:10" ht="16.5" thickTop="1" thickBot="1" x14ac:dyDescent="0.4">
      <c r="A13" s="3">
        <v>1996</v>
      </c>
      <c r="B13" s="6">
        <v>562626.6</v>
      </c>
      <c r="C13" s="7">
        <v>1309543.3999999999</v>
      </c>
      <c r="D13" s="6">
        <v>1872170</v>
      </c>
      <c r="E13" s="8">
        <f t="shared" si="0"/>
        <v>746916.79999999993</v>
      </c>
      <c r="F13" s="9">
        <v>14.314281188140001</v>
      </c>
      <c r="G13" s="22">
        <v>4.0520339511459396</v>
      </c>
      <c r="H13" s="10">
        <v>22799.693418475326</v>
      </c>
      <c r="I13" s="12">
        <v>337.2176</v>
      </c>
      <c r="J13" s="12">
        <v>124.29130000000001</v>
      </c>
    </row>
    <row r="14" spans="1:10" ht="16.5" thickTop="1" thickBot="1" x14ac:dyDescent="0.4">
      <c r="A14" s="3">
        <v>1997</v>
      </c>
      <c r="B14" s="6">
        <v>845716.6</v>
      </c>
      <c r="C14" s="7">
        <v>1241662.7</v>
      </c>
      <c r="D14" s="6">
        <v>2087379.3</v>
      </c>
      <c r="E14" s="8">
        <f t="shared" si="0"/>
        <v>395946.1</v>
      </c>
      <c r="F14" s="9">
        <v>10.21333338738917</v>
      </c>
      <c r="G14" s="22">
        <v>2.8859156428513399</v>
      </c>
      <c r="H14" s="10">
        <v>23469.343081577477</v>
      </c>
      <c r="I14" s="12">
        <v>428.21520000000004</v>
      </c>
      <c r="J14" s="12">
        <v>158.5635</v>
      </c>
    </row>
    <row r="15" spans="1:10" ht="16.5" thickTop="1" thickBot="1" x14ac:dyDescent="0.4">
      <c r="A15" s="3">
        <v>1998</v>
      </c>
      <c r="B15" s="6">
        <v>837418.7</v>
      </c>
      <c r="C15" s="7">
        <v>751856.7</v>
      </c>
      <c r="D15" s="6">
        <v>1589275.4</v>
      </c>
      <c r="E15" s="8">
        <f t="shared" si="0"/>
        <v>-85562</v>
      </c>
      <c r="F15" s="9">
        <v>11.912922959204849</v>
      </c>
      <c r="G15" s="22">
        <v>2.4956015123949</v>
      </c>
      <c r="H15" s="10">
        <v>24075.146462795452</v>
      </c>
      <c r="I15" s="12">
        <v>487.11340000000001</v>
      </c>
      <c r="J15" s="12">
        <v>178.09779999999998</v>
      </c>
    </row>
    <row r="16" spans="1:10" ht="16.5" thickTop="1" thickBot="1" x14ac:dyDescent="0.4">
      <c r="A16" s="3">
        <v>1999</v>
      </c>
      <c r="B16" s="6">
        <v>862515.7</v>
      </c>
      <c r="C16" s="7">
        <v>1188969.8</v>
      </c>
      <c r="D16" s="6">
        <v>2051485.5</v>
      </c>
      <c r="E16" s="8">
        <f t="shared" si="0"/>
        <v>326454.10000000009</v>
      </c>
      <c r="F16" s="9">
        <v>0.22360635420832864</v>
      </c>
      <c r="G16" s="22">
        <v>0.52184442226179895</v>
      </c>
      <c r="H16" s="10">
        <v>24215.775868231889</v>
      </c>
      <c r="I16" s="12">
        <v>947.69</v>
      </c>
      <c r="J16" s="12">
        <v>449.66240000000005</v>
      </c>
    </row>
    <row r="17" spans="1:10" ht="16.5" thickTop="1" thickBot="1" x14ac:dyDescent="0.4">
      <c r="A17" s="3">
        <v>2000</v>
      </c>
      <c r="B17" s="6">
        <v>985022.39</v>
      </c>
      <c r="C17" s="7">
        <v>1945723.3</v>
      </c>
      <c r="D17" s="6">
        <v>2930745.69</v>
      </c>
      <c r="E17" s="8">
        <f t="shared" si="0"/>
        <v>960700.91</v>
      </c>
      <c r="F17" s="13">
        <v>14.5</v>
      </c>
      <c r="G17" s="22">
        <v>5.5184997019763502</v>
      </c>
      <c r="H17" s="10">
        <v>25430.423386735103</v>
      </c>
      <c r="I17" s="12">
        <v>701.05089999999996</v>
      </c>
      <c r="J17" s="12">
        <v>461.6</v>
      </c>
    </row>
    <row r="18" spans="1:10" ht="16.5" thickTop="1" thickBot="1" x14ac:dyDescent="0.4">
      <c r="A18" s="3">
        <v>2001</v>
      </c>
      <c r="B18" s="6">
        <v>1358180.33</v>
      </c>
      <c r="C18" s="7">
        <v>1867953.85</v>
      </c>
      <c r="D18" s="6">
        <v>3226134.18</v>
      </c>
      <c r="E18" s="8">
        <f t="shared" si="0"/>
        <v>509773.52</v>
      </c>
      <c r="F18" s="13">
        <v>16.5</v>
      </c>
      <c r="G18" s="22">
        <v>6.6668482094472798</v>
      </c>
      <c r="H18" s="10">
        <v>26935.315648296448</v>
      </c>
      <c r="I18" s="12">
        <v>1017.9965</v>
      </c>
      <c r="J18" s="12">
        <v>579.29999999999995</v>
      </c>
    </row>
    <row r="19" spans="1:10" ht="16.5" thickTop="1" thickBot="1" x14ac:dyDescent="0.4">
      <c r="A19" s="3">
        <v>2002</v>
      </c>
      <c r="B19" s="6">
        <v>1512695.33</v>
      </c>
      <c r="C19" s="7">
        <v>1744177.6769999999</v>
      </c>
      <c r="D19" s="6">
        <v>3256873.0070000002</v>
      </c>
      <c r="E19" s="8">
        <f t="shared" si="0"/>
        <v>231482.34699999983</v>
      </c>
      <c r="F19" s="13">
        <v>12.2</v>
      </c>
      <c r="G19" s="22">
        <v>14.6043814400406</v>
      </c>
      <c r="H19" s="10">
        <v>31064.27213256403</v>
      </c>
      <c r="I19" s="12">
        <v>1018.1781</v>
      </c>
      <c r="J19" s="12">
        <v>696.8</v>
      </c>
    </row>
    <row r="20" spans="1:10" ht="16.5" thickTop="1" thickBot="1" x14ac:dyDescent="0.4">
      <c r="A20" s="3">
        <v>2003</v>
      </c>
      <c r="B20" s="6">
        <v>2080235.27</v>
      </c>
      <c r="C20" s="7">
        <v>3087886.3930000002</v>
      </c>
      <c r="D20" s="6">
        <v>5168121.6629999997</v>
      </c>
      <c r="E20" s="8">
        <f t="shared" si="0"/>
        <v>1007651.1230000001</v>
      </c>
      <c r="F20" s="13">
        <v>23.8</v>
      </c>
      <c r="G20" s="22">
        <v>9.5026061284807604</v>
      </c>
      <c r="H20" s="10">
        <v>33346.6247722763</v>
      </c>
      <c r="I20" s="12">
        <v>1225.9883</v>
      </c>
      <c r="J20" s="12">
        <v>984.3</v>
      </c>
    </row>
    <row r="21" spans="1:10" ht="16.5" thickTop="1" thickBot="1" x14ac:dyDescent="0.4">
      <c r="A21" s="3">
        <v>2004</v>
      </c>
      <c r="B21" s="6">
        <v>1987045.27</v>
      </c>
      <c r="C21" s="7">
        <v>4602781.54</v>
      </c>
      <c r="D21" s="6">
        <v>6589826.8099999996</v>
      </c>
      <c r="E21" s="8">
        <f t="shared" si="0"/>
        <v>2615736.27</v>
      </c>
      <c r="F21" s="13">
        <v>10</v>
      </c>
      <c r="G21" s="22">
        <v>10.442003766134601</v>
      </c>
      <c r="H21" s="10">
        <v>36431.373714127702</v>
      </c>
      <c r="I21" s="11">
        <v>1504.2</v>
      </c>
      <c r="J21" s="11">
        <v>1110.8</v>
      </c>
    </row>
    <row r="22" spans="1:10" ht="16.5" thickTop="1" thickBot="1" x14ac:dyDescent="0.4">
      <c r="A22" s="3">
        <v>2005</v>
      </c>
      <c r="B22" s="6">
        <v>2800856.33</v>
      </c>
      <c r="C22" s="7">
        <v>7246534.7999999998</v>
      </c>
      <c r="D22" s="6">
        <v>10047391.130000001</v>
      </c>
      <c r="E22" s="8">
        <f t="shared" si="0"/>
        <v>4445678.47</v>
      </c>
      <c r="F22" s="13">
        <v>11.6</v>
      </c>
      <c r="G22" s="22">
        <v>7.0084568752030796</v>
      </c>
      <c r="H22" s="14">
        <v>38777.013730989471</v>
      </c>
      <c r="I22" s="11">
        <v>1919.6999999999998</v>
      </c>
      <c r="J22" s="11">
        <v>1321.3</v>
      </c>
    </row>
    <row r="23" spans="1:10" ht="16.5" thickTop="1" thickBot="1" x14ac:dyDescent="0.4">
      <c r="A23" s="3">
        <v>2006</v>
      </c>
      <c r="B23" s="6">
        <v>3108519.32</v>
      </c>
      <c r="C23" s="7">
        <v>7324680.6299999999</v>
      </c>
      <c r="D23" s="6">
        <v>10433199.949999999</v>
      </c>
      <c r="E23" s="8">
        <f t="shared" si="0"/>
        <v>4216161.3100000005</v>
      </c>
      <c r="F23" s="13">
        <v>8.5</v>
      </c>
      <c r="G23" s="22">
        <v>6.72597414051641</v>
      </c>
      <c r="H23" s="10">
        <v>41126.678970716806</v>
      </c>
      <c r="I23" s="11">
        <v>2038</v>
      </c>
      <c r="J23" s="11">
        <v>1390.2</v>
      </c>
    </row>
    <row r="24" spans="1:10" ht="16.5" thickTop="1" thickBot="1" x14ac:dyDescent="0.4">
      <c r="A24" s="3">
        <v>2007</v>
      </c>
      <c r="B24" s="6">
        <v>3911952.63</v>
      </c>
      <c r="C24" s="7">
        <v>8309758.3200000003</v>
      </c>
      <c r="D24" s="6">
        <v>12221710.949999999</v>
      </c>
      <c r="E24" s="8">
        <f t="shared" si="0"/>
        <v>4397805.6900000004</v>
      </c>
      <c r="F24" s="13">
        <v>6.6</v>
      </c>
      <c r="G24" s="22">
        <v>7.3180809188590397</v>
      </c>
      <c r="H24" s="10">
        <v>43837.39199467127</v>
      </c>
      <c r="I24" s="11">
        <v>2450.8967000000002</v>
      </c>
      <c r="J24" s="11">
        <v>1589.27</v>
      </c>
    </row>
    <row r="25" spans="1:10" ht="16.5" thickTop="1" thickBot="1" x14ac:dyDescent="0.4">
      <c r="A25" s="3">
        <v>2008</v>
      </c>
      <c r="B25" s="6">
        <v>5593180.4501537299</v>
      </c>
      <c r="C25" s="7">
        <v>10387693.616822699</v>
      </c>
      <c r="D25" s="6">
        <v>15980874.0669764</v>
      </c>
      <c r="E25" s="8">
        <f t="shared" si="0"/>
        <v>4794513.1666689692</v>
      </c>
      <c r="F25" s="13">
        <v>15.1</v>
      </c>
      <c r="G25" s="22">
        <v>7.1992871018682996</v>
      </c>
      <c r="H25" s="10">
        <v>46802.760442716768</v>
      </c>
      <c r="I25" s="11">
        <v>3240.8196000000003</v>
      </c>
      <c r="J25" s="11">
        <v>2117.3620000000001</v>
      </c>
    </row>
    <row r="26" spans="1:10" ht="16.5" thickTop="1" thickBot="1" x14ac:dyDescent="0.4">
      <c r="A26" s="3">
        <v>2009</v>
      </c>
      <c r="B26" s="6">
        <v>5480656.1229653396</v>
      </c>
      <c r="C26" s="7">
        <v>8606319.7167240307</v>
      </c>
      <c r="D26" s="6">
        <v>14086975.8396894</v>
      </c>
      <c r="E26" s="8">
        <f t="shared" si="0"/>
        <v>3125663.5937586911</v>
      </c>
      <c r="F26" s="13">
        <v>12</v>
      </c>
      <c r="G26" s="22">
        <v>8.3533441790123497</v>
      </c>
      <c r="H26" s="10">
        <v>50564.263245078451</v>
      </c>
      <c r="I26" s="11">
        <v>3452.9908</v>
      </c>
      <c r="J26" s="11">
        <v>2127.9714999999997</v>
      </c>
    </row>
    <row r="27" spans="1:10" ht="16.5" thickTop="1" thickBot="1" x14ac:dyDescent="0.4">
      <c r="A27" s="3">
        <v>2010</v>
      </c>
      <c r="B27" s="6">
        <v>8163974.5703944797</v>
      </c>
      <c r="C27" s="7">
        <v>12011475.8718017</v>
      </c>
      <c r="D27" s="6">
        <v>20175450.442196202</v>
      </c>
      <c r="E27" s="8">
        <f t="shared" si="0"/>
        <v>3847501.3014072208</v>
      </c>
      <c r="F27" s="13">
        <v>11.8</v>
      </c>
      <c r="G27" s="22">
        <v>9.5397858740471992</v>
      </c>
      <c r="H27" s="14">
        <v>55469.350306577951</v>
      </c>
      <c r="I27" s="11">
        <v>4194.5765080000001</v>
      </c>
      <c r="J27" s="11">
        <v>3109.3785079999998</v>
      </c>
    </row>
    <row r="28" spans="1:10" ht="16.5" thickTop="1" thickBot="1" x14ac:dyDescent="0.4">
      <c r="A28" s="4">
        <v>2011</v>
      </c>
      <c r="B28" s="6">
        <v>10995863.6260632</v>
      </c>
      <c r="C28" s="7">
        <v>15236665.9883448</v>
      </c>
      <c r="D28" s="6">
        <v>26232529.614408001</v>
      </c>
      <c r="E28" s="8">
        <f t="shared" si="0"/>
        <v>4240802.3622816</v>
      </c>
      <c r="F28" s="15">
        <v>10.3</v>
      </c>
      <c r="G28" s="23">
        <v>5.3079242037787404</v>
      </c>
      <c r="H28" s="10">
        <v>58180.351895038082</v>
      </c>
      <c r="I28" s="16">
        <v>4712.0619811833403</v>
      </c>
      <c r="J28" s="16">
        <v>3314.5133344379674</v>
      </c>
    </row>
    <row r="29" spans="1:10" ht="16.5" thickTop="1" thickBot="1" x14ac:dyDescent="0.4">
      <c r="A29" s="3">
        <v>2012</v>
      </c>
      <c r="B29" s="6">
        <v>9766556.7352438197</v>
      </c>
      <c r="C29" s="7">
        <v>15139326.131746801</v>
      </c>
      <c r="D29" s="6">
        <v>24905882.8669906</v>
      </c>
      <c r="E29" s="8">
        <f t="shared" si="0"/>
        <v>5372769.396502981</v>
      </c>
      <c r="F29" s="13">
        <v>12</v>
      </c>
      <c r="G29" s="22">
        <v>4.2058902165342902</v>
      </c>
      <c r="H29" s="10">
        <v>60670.050464060798</v>
      </c>
      <c r="I29" s="17">
        <v>4605.3</v>
      </c>
      <c r="J29" s="18">
        <v>3325.1564999999996</v>
      </c>
    </row>
    <row r="30" spans="1:10" ht="16.5" thickTop="1" thickBot="1" x14ac:dyDescent="0.4">
      <c r="A30" s="3">
        <v>2013</v>
      </c>
      <c r="B30" s="6">
        <v>9439424.7072370294</v>
      </c>
      <c r="C30" s="7">
        <v>15262013.609255601</v>
      </c>
      <c r="D30" s="6">
        <v>24701438.316492699</v>
      </c>
      <c r="E30" s="8">
        <f t="shared" si="0"/>
        <v>5822588.9020185713</v>
      </c>
      <c r="F30" s="13">
        <v>8</v>
      </c>
      <c r="G30" s="22">
        <v>5.4877933513749797</v>
      </c>
      <c r="H30" s="10">
        <v>63942.845560018897</v>
      </c>
      <c r="I30" s="19">
        <v>5185.3184619809808</v>
      </c>
      <c r="J30" s="19">
        <v>3689.06105991918</v>
      </c>
    </row>
    <row r="31" spans="1:10" ht="16.5" thickTop="1" thickBot="1" x14ac:dyDescent="0.4">
      <c r="A31" s="3">
        <v>2014</v>
      </c>
      <c r="B31" s="6">
        <v>10538914.5087715</v>
      </c>
      <c r="C31" s="7">
        <v>12962026.840698799</v>
      </c>
      <c r="D31" s="6">
        <v>23500941.349470299</v>
      </c>
      <c r="E31" s="8">
        <f t="shared" si="0"/>
        <v>2423112.3319272995</v>
      </c>
      <c r="F31" s="13">
        <v>8</v>
      </c>
      <c r="G31" s="24">
        <v>6.2229415552984602</v>
      </c>
      <c r="H31" s="10">
        <v>67977.459219749813</v>
      </c>
      <c r="I31" s="19">
        <v>4587.3853381795088</v>
      </c>
      <c r="J31" s="19">
        <v>3426.8979361177089</v>
      </c>
    </row>
    <row r="32" spans="1:10" ht="16.5" thickTop="1" thickBot="1" x14ac:dyDescent="0.4">
      <c r="A32" s="3">
        <v>2015</v>
      </c>
      <c r="B32" s="6">
        <v>11076068.3436956</v>
      </c>
      <c r="C32" s="7">
        <v>8845158.8108746205</v>
      </c>
      <c r="D32" s="6">
        <v>19921227.1545703</v>
      </c>
      <c r="E32" s="8">
        <f t="shared" si="0"/>
        <v>-2230909.5328209791</v>
      </c>
      <c r="F32" s="13">
        <v>9.6</v>
      </c>
      <c r="G32" s="24">
        <v>2.78639833750211</v>
      </c>
      <c r="H32" s="10">
        <v>69780.692718348233</v>
      </c>
      <c r="I32" s="19">
        <v>4988.864407165559</v>
      </c>
      <c r="J32" s="19">
        <v>3831.9474071655595</v>
      </c>
    </row>
    <row r="33" spans="1:10" ht="16.5" thickTop="1" thickBot="1" x14ac:dyDescent="0.4">
      <c r="A33" s="3">
        <v>2016</v>
      </c>
      <c r="B33" s="6">
        <v>9480366.8658430502</v>
      </c>
      <c r="C33" s="7">
        <v>8835611.9056179896</v>
      </c>
      <c r="D33" s="6">
        <v>18315978.771460999</v>
      </c>
      <c r="E33" s="8">
        <f t="shared" si="0"/>
        <v>-644754.96022506058</v>
      </c>
      <c r="F33" s="13">
        <v>18.600000000000001</v>
      </c>
      <c r="G33" s="24">
        <v>-1.58306549250478</v>
      </c>
      <c r="H33" s="14">
        <v>68652.43036468995</v>
      </c>
      <c r="I33" s="19">
        <v>5858.5583894386991</v>
      </c>
      <c r="J33" s="19">
        <v>4160.1103894386988</v>
      </c>
    </row>
    <row r="34" spans="1:10" ht="16.5" thickTop="1" thickBot="1" x14ac:dyDescent="0.4">
      <c r="A34" s="3">
        <v>2017</v>
      </c>
      <c r="B34" s="6">
        <v>10804845.846542999</v>
      </c>
      <c r="C34" s="7">
        <v>13988143.1935695</v>
      </c>
      <c r="D34" s="6">
        <v>24792989.040112499</v>
      </c>
      <c r="E34" s="8">
        <f t="shared" si="0"/>
        <v>3183297.3470265009</v>
      </c>
      <c r="F34" s="13">
        <v>15.4</v>
      </c>
      <c r="G34" s="24">
        <v>0.82398678890531796</v>
      </c>
      <c r="H34" s="10">
        <v>69205.691114965739</v>
      </c>
      <c r="I34" s="19">
        <v>6456.6977663463258</v>
      </c>
      <c r="J34" s="19">
        <v>4779.9887663463251</v>
      </c>
    </row>
    <row r="35" spans="1:10" ht="16.5" thickTop="1" thickBot="1" x14ac:dyDescent="0.4">
      <c r="A35" s="3">
        <v>2018</v>
      </c>
      <c r="B35" s="6">
        <v>13445112.745115301</v>
      </c>
      <c r="C35" s="7">
        <v>18707327.4294536</v>
      </c>
      <c r="D35" s="6">
        <v>32152440.174569</v>
      </c>
      <c r="E35" s="8">
        <f t="shared" si="0"/>
        <v>5262214.6843382996</v>
      </c>
      <c r="F35" s="13">
        <v>11.4</v>
      </c>
      <c r="G35" s="24">
        <v>1.91</v>
      </c>
      <c r="H35" s="10">
        <v>70536.348621684549</v>
      </c>
      <c r="I35" s="19">
        <v>7813.7400589778144</v>
      </c>
      <c r="J35" s="19">
        <v>5675.1850589778142</v>
      </c>
    </row>
    <row r="36" spans="1:10" ht="16.5" thickTop="1" thickBot="1" x14ac:dyDescent="0.4">
      <c r="A36" s="3">
        <v>2019</v>
      </c>
      <c r="B36" s="6">
        <v>20449968.3872016</v>
      </c>
      <c r="C36" s="7">
        <v>19910533.804573901</v>
      </c>
      <c r="D36" s="6">
        <v>40360502.191775501</v>
      </c>
      <c r="E36" s="8">
        <f t="shared" si="0"/>
        <v>-539434.58262769878</v>
      </c>
      <c r="F36" s="13">
        <v>11.98</v>
      </c>
      <c r="G36" s="24">
        <v>2.27</v>
      </c>
      <c r="H36" s="10">
        <v>72094.093995742107</v>
      </c>
      <c r="I36" s="11">
        <v>9712.2235263346429</v>
      </c>
      <c r="J36" s="11">
        <v>6994.7705263346434</v>
      </c>
    </row>
    <row r="37" spans="1:10" ht="16.5" thickTop="1" thickBot="1" x14ac:dyDescent="0.4">
      <c r="A37" s="3">
        <v>2020</v>
      </c>
      <c r="B37" s="6">
        <v>20519192.1506387</v>
      </c>
      <c r="C37" s="7">
        <v>12613592.698651001</v>
      </c>
      <c r="D37" s="6">
        <v>33132784.8492897</v>
      </c>
      <c r="E37" s="8">
        <f t="shared" si="0"/>
        <v>-7905599.4519876987</v>
      </c>
      <c r="F37" s="13">
        <v>15.8</v>
      </c>
      <c r="G37" s="24">
        <v>-1.92</v>
      </c>
      <c r="H37" s="10">
        <v>70800.543492012715</v>
      </c>
      <c r="I37" s="11">
        <v>10232.330338985807</v>
      </c>
      <c r="J37" s="11">
        <v>8189.381338985806</v>
      </c>
    </row>
    <row r="38" spans="1:10" ht="16.5" thickTop="1" thickBot="1" x14ac:dyDescent="0.4">
      <c r="A38" s="3">
        <v>2021</v>
      </c>
      <c r="B38" s="6">
        <v>22954835.521528199</v>
      </c>
      <c r="C38" s="7">
        <v>19204170.871135298</v>
      </c>
      <c r="D38" s="6">
        <v>42159006.392663501</v>
      </c>
      <c r="E38" s="8">
        <f t="shared" si="0"/>
        <v>-3750664.6503929012</v>
      </c>
      <c r="F38" s="13">
        <v>15.625488850575337</v>
      </c>
      <c r="G38" s="24">
        <v>0.50819096413909903</v>
      </c>
      <c r="H38" s="10">
        <v>73382.771385236323</v>
      </c>
      <c r="I38" s="11">
        <v>12164.146255187918</v>
      </c>
      <c r="J38" s="11">
        <v>9145.1542551879174</v>
      </c>
    </row>
    <row r="39" spans="1:10" ht="16.5" thickTop="1" thickBot="1" x14ac:dyDescent="0.4">
      <c r="A39" s="3">
        <v>2022</v>
      </c>
      <c r="B39" s="6">
        <v>27115108.583517499</v>
      </c>
      <c r="C39" s="7">
        <v>27251572.393186402</v>
      </c>
      <c r="D39" s="6">
        <v>54366680.976703897</v>
      </c>
      <c r="E39" s="8">
        <f t="shared" si="0"/>
        <v>136463.80966890231</v>
      </c>
      <c r="F39" s="13">
        <v>21.34379451911694</v>
      </c>
      <c r="G39" s="24">
        <v>3.1021985664250402</v>
      </c>
      <c r="H39" s="10">
        <v>74752.416581018784</v>
      </c>
      <c r="I39" s="11">
        <v>14946.249497292369</v>
      </c>
      <c r="J39" s="11">
        <v>11002.306497292369</v>
      </c>
    </row>
    <row r="40" spans="1:10" ht="16.5" thickTop="1" thickBot="1" x14ac:dyDescent="0.4">
      <c r="A40" s="4">
        <v>2023</v>
      </c>
      <c r="B40" s="6">
        <v>32642666.145173602</v>
      </c>
      <c r="C40" s="6">
        <v>36247788.326568</v>
      </c>
      <c r="D40" s="6">
        <v>68890454.471741602</v>
      </c>
      <c r="E40" s="8">
        <f t="shared" si="0"/>
        <v>3605122.1813943982</v>
      </c>
      <c r="F40" s="15">
        <v>28.92</v>
      </c>
      <c r="G40" s="25">
        <v>2.7404694263186902</v>
      </c>
      <c r="H40" s="10">
        <v>77936.100051649613</v>
      </c>
      <c r="I40" s="20">
        <v>19808.437540587449</v>
      </c>
      <c r="J40" s="20">
        <v>14287.564540587447</v>
      </c>
    </row>
    <row r="41" spans="1:10" ht="16.5" thickTop="1" thickBot="1" x14ac:dyDescent="0.4">
      <c r="A41" s="4">
        <v>2024</v>
      </c>
      <c r="B41" s="21">
        <v>64289076.710074998</v>
      </c>
      <c r="C41" s="21">
        <v>77854026.676161394</v>
      </c>
      <c r="D41" s="21">
        <v>142143103.38623601</v>
      </c>
      <c r="E41" s="8">
        <f t="shared" si="0"/>
        <v>13564949.966086395</v>
      </c>
      <c r="F41" s="15"/>
      <c r="G41" s="26">
        <v>3.38</v>
      </c>
      <c r="H41" s="10">
        <v>80606.533346212484</v>
      </c>
      <c r="I41" s="11"/>
      <c r="J41" s="5"/>
    </row>
    <row r="42" spans="1:10" ht="15" thickTop="1" x14ac:dyDescent="0.35">
      <c r="I42" s="1"/>
    </row>
    <row r="43" spans="1:10" x14ac:dyDescent="0.35">
      <c r="I43" s="1"/>
    </row>
    <row r="44" spans="1:10" x14ac:dyDescent="0.35">
      <c r="I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</cp:lastModifiedBy>
  <dcterms:created xsi:type="dcterms:W3CDTF">2026-06-13T12:24:01Z</dcterms:created>
  <dcterms:modified xsi:type="dcterms:W3CDTF">2026-06-18T21:26:15Z</dcterms:modified>
</cp:coreProperties>
</file>